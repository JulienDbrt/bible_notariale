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Tests" sheetId="1" state="visible" r:id="rId1"/>
    <sheet name="Syn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1"/>
    </font>
    <font>
      <i val="1"/>
      <color rgb="00FFFFFF"/>
      <sz val="9"/>
    </font>
    <font>
      <b val="1"/>
    </font>
    <font>
      <b val="1"/>
      <sz val="11"/>
    </font>
    <font>
      <b val="1"/>
      <color rgb="00FFFFFF"/>
    </font>
    <font/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40" customWidth="1" min="12" max="12"/>
    <col width="60" customWidth="1" min="13" max="13"/>
  </cols>
  <sheetData>
    <row r="1" ht="30" customHeight="1">
      <c r="A1" s="1" t="inlineStr">
        <is>
          <t>SUIVI DES TESTS CHATBOT - BIBLE NOTARIALE</t>
        </is>
      </c>
    </row>
    <row r="2" ht="25" customHeight="1">
      <c r="A2" s="2" t="inlineStr">
        <is>
          <t>Système d'évaluation : Exactitude /3 + Sources /3 + Formulation /3 = TOTAL /9 (Seuil de réussite : ≥6/9)</t>
        </is>
      </c>
    </row>
    <row r="3" ht="35" customHeight="1">
      <c r="A3" s="3" t="inlineStr">
        <is>
          <t>ID Test</t>
        </is>
      </c>
      <c r="B3" s="3" t="inlineStr">
        <is>
          <t>Catégorie</t>
        </is>
      </c>
      <c r="C3" s="3" t="inlineStr">
        <is>
          <t>Question</t>
        </is>
      </c>
      <c r="D3" s="3" t="inlineStr">
        <is>
          <t>Document Source</t>
        </is>
      </c>
      <c r="E3" s="3" t="inlineStr">
        <is>
          <t>Date Test</t>
        </is>
      </c>
      <c r="F3" s="3" t="inlineStr">
        <is>
          <t>Réponse Obtenue</t>
        </is>
      </c>
      <c r="G3" s="3" t="inlineStr">
        <is>
          <t>Exactitude /3</t>
        </is>
      </c>
      <c r="H3" s="3" t="inlineStr">
        <is>
          <t>Sources /3</t>
        </is>
      </c>
      <c r="I3" s="3" t="inlineStr">
        <is>
          <t>Formulation /3</t>
        </is>
      </c>
      <c r="J3" s="3" t="inlineStr">
        <is>
          <t>TOTAL /9</t>
        </is>
      </c>
      <c r="K3" s="3" t="inlineStr">
        <is>
          <t>Status</t>
        </is>
      </c>
      <c r="L3" s="3" t="inlineStr">
        <is>
          <t>Notes</t>
        </is>
      </c>
      <c r="M3" s="3" t="inlineStr">
        <is>
          <t>Réponse de Référence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>
        <is>
          <t>Pertinence + Complétude</t>
        </is>
      </c>
      <c r="H4" s="4" t="inlineStr">
        <is>
          <t>Pertinence + Complétude</t>
        </is>
      </c>
      <c r="I4" s="4" t="inlineStr">
        <is>
          <t>Clarté + Style + Longueur</t>
        </is>
      </c>
      <c r="J4" s="4" t="inlineStr"/>
      <c r="K4" s="4" t="inlineStr">
        <is>
          <t>✅ si ≥6, ❌ si &lt;6</t>
        </is>
      </c>
      <c r="L4" s="4" t="inlineStr">
        <is>
          <t>Commentaires libres</t>
        </is>
      </c>
      <c r="M4" s="4" t="inlineStr">
        <is>
          <t>Issue du dataset validé</t>
        </is>
      </c>
    </row>
    <row r="5" ht="60" customHeight="1">
      <c r="A5" s="5" t="inlineStr">
        <is>
          <t>TEST_001</t>
        </is>
      </c>
      <c r="B5" s="5" t="n"/>
      <c r="C5" s="6" t="n"/>
      <c r="D5" s="6" t="n"/>
      <c r="E5" s="5" t="inlineStr"/>
      <c r="F5" s="6" t="n"/>
      <c r="G5" s="7" t="n"/>
      <c r="H5" s="7" t="n"/>
      <c r="I5" s="7" t="n"/>
      <c r="J5" s="8">
        <f>SUM(G5:I5)</f>
        <v/>
      </c>
      <c r="K5" s="5">
        <f>IF(J5="","",IF(J5&gt;=6,"✅ Réussi","❌ Échec"))</f>
        <v/>
      </c>
      <c r="L5" s="6" t="n"/>
      <c r="M5" s="6" t="n"/>
    </row>
    <row r="6" ht="60" customHeight="1">
      <c r="A6" s="5" t="inlineStr">
        <is>
          <t>TEST_002</t>
        </is>
      </c>
      <c r="B6" s="5" t="n"/>
      <c r="C6" s="6" t="n"/>
      <c r="D6" s="6" t="n"/>
      <c r="E6" s="5" t="inlineStr"/>
      <c r="F6" s="6" t="n"/>
      <c r="G6" s="7" t="n"/>
      <c r="H6" s="7" t="n"/>
      <c r="I6" s="7" t="n"/>
      <c r="J6" s="8">
        <f>SUM(G6:I6)</f>
        <v/>
      </c>
      <c r="K6" s="5">
        <f>IF(J6="","",IF(J6&gt;=6,"✅ Réussi","❌ Échec"))</f>
        <v/>
      </c>
      <c r="L6" s="6" t="n"/>
      <c r="M6" s="6" t="n"/>
    </row>
    <row r="7" ht="60" customHeight="1">
      <c r="A7" s="5" t="inlineStr">
        <is>
          <t>TEST_003</t>
        </is>
      </c>
      <c r="B7" s="5" t="n"/>
      <c r="C7" s="6" t="n"/>
      <c r="D7" s="6" t="n"/>
      <c r="E7" s="5" t="inlineStr"/>
      <c r="F7" s="6" t="n"/>
      <c r="G7" s="7" t="n"/>
      <c r="H7" s="7" t="n"/>
      <c r="I7" s="7" t="n"/>
      <c r="J7" s="8">
        <f>SUM(G7:I7)</f>
        <v/>
      </c>
      <c r="K7" s="5">
        <f>IF(J7="","",IF(J7&gt;=6,"✅ Réussi","❌ Échec"))</f>
        <v/>
      </c>
      <c r="L7" s="6" t="n"/>
      <c r="M7" s="6" t="n"/>
    </row>
    <row r="8" ht="60" customHeight="1">
      <c r="A8" s="5" t="inlineStr">
        <is>
          <t>TEST_004</t>
        </is>
      </c>
      <c r="B8" s="5" t="n"/>
      <c r="C8" s="6" t="n"/>
      <c r="D8" s="6" t="n"/>
      <c r="E8" s="5" t="inlineStr"/>
      <c r="F8" s="6" t="n"/>
      <c r="G8" s="7" t="n"/>
      <c r="H8" s="7" t="n"/>
      <c r="I8" s="7" t="n"/>
      <c r="J8" s="8">
        <f>SUM(G8:I8)</f>
        <v/>
      </c>
      <c r="K8" s="5">
        <f>IF(J8="","",IF(J8&gt;=6,"✅ Réussi","❌ Échec"))</f>
        <v/>
      </c>
      <c r="L8" s="6" t="n"/>
      <c r="M8" s="6" t="n"/>
    </row>
    <row r="9" ht="60" customHeight="1">
      <c r="A9" s="5" t="inlineStr">
        <is>
          <t>TEST_005</t>
        </is>
      </c>
      <c r="B9" s="5" t="n"/>
      <c r="C9" s="6" t="n"/>
      <c r="D9" s="6" t="n"/>
      <c r="E9" s="5" t="inlineStr"/>
      <c r="F9" s="6" t="n"/>
      <c r="G9" s="7" t="n"/>
      <c r="H9" s="7" t="n"/>
      <c r="I9" s="7" t="n"/>
      <c r="J9" s="8">
        <f>SUM(G9:I9)</f>
        <v/>
      </c>
      <c r="K9" s="5">
        <f>IF(J9="","",IF(J9&gt;=6,"✅ Réussi","❌ Échec"))</f>
        <v/>
      </c>
      <c r="L9" s="6" t="n"/>
      <c r="M9" s="6" t="n"/>
    </row>
    <row r="10" ht="60" customHeight="1">
      <c r="A10" s="5" t="inlineStr">
        <is>
          <t>TEST_006</t>
        </is>
      </c>
      <c r="B10" s="5" t="n"/>
      <c r="C10" s="6" t="n"/>
      <c r="D10" s="6" t="n"/>
      <c r="E10" s="5" t="inlineStr"/>
      <c r="F10" s="6" t="n"/>
      <c r="G10" s="7" t="n"/>
      <c r="H10" s="7" t="n"/>
      <c r="I10" s="7" t="n"/>
      <c r="J10" s="8">
        <f>SUM(G10:I10)</f>
        <v/>
      </c>
      <c r="K10" s="5">
        <f>IF(J10="","",IF(J10&gt;=6,"✅ Réussi","❌ Échec"))</f>
        <v/>
      </c>
      <c r="L10" s="6" t="n"/>
      <c r="M10" s="6" t="n"/>
    </row>
    <row r="11" ht="60" customHeight="1">
      <c r="A11" s="5" t="inlineStr">
        <is>
          <t>TEST_007</t>
        </is>
      </c>
      <c r="B11" s="5" t="n"/>
      <c r="C11" s="6" t="n"/>
      <c r="D11" s="6" t="n"/>
      <c r="E11" s="5" t="inlineStr"/>
      <c r="F11" s="6" t="n"/>
      <c r="G11" s="7" t="n"/>
      <c r="H11" s="7" t="n"/>
      <c r="I11" s="7" t="n"/>
      <c r="J11" s="8">
        <f>SUM(G11:I11)</f>
        <v/>
      </c>
      <c r="K11" s="5">
        <f>IF(J11="","",IF(J11&gt;=6,"✅ Réussi","❌ Échec"))</f>
        <v/>
      </c>
      <c r="L11" s="6" t="n"/>
      <c r="M11" s="6" t="n"/>
    </row>
    <row r="12" ht="60" customHeight="1">
      <c r="A12" s="5" t="inlineStr">
        <is>
          <t>TEST_008</t>
        </is>
      </c>
      <c r="B12" s="5" t="n"/>
      <c r="C12" s="6" t="n"/>
      <c r="D12" s="6" t="n"/>
      <c r="E12" s="5" t="inlineStr"/>
      <c r="F12" s="6" t="n"/>
      <c r="G12" s="7" t="n"/>
      <c r="H12" s="7" t="n"/>
      <c r="I12" s="7" t="n"/>
      <c r="J12" s="8">
        <f>SUM(G12:I12)</f>
        <v/>
      </c>
      <c r="K12" s="5">
        <f>IF(J12="","",IF(J12&gt;=6,"✅ Réussi","❌ Échec"))</f>
        <v/>
      </c>
      <c r="L12" s="6" t="n"/>
      <c r="M12" s="6" t="n"/>
    </row>
    <row r="13" ht="60" customHeight="1">
      <c r="A13" s="5" t="inlineStr">
        <is>
          <t>TEST_009</t>
        </is>
      </c>
      <c r="B13" s="5" t="n"/>
      <c r="C13" s="6" t="n"/>
      <c r="D13" s="6" t="n"/>
      <c r="E13" s="5" t="inlineStr"/>
      <c r="F13" s="6" t="n"/>
      <c r="G13" s="7" t="n"/>
      <c r="H13" s="7" t="n"/>
      <c r="I13" s="7" t="n"/>
      <c r="J13" s="8">
        <f>SUM(G13:I13)</f>
        <v/>
      </c>
      <c r="K13" s="5">
        <f>IF(J13="","",IF(J13&gt;=6,"✅ Réussi","❌ Échec"))</f>
        <v/>
      </c>
      <c r="L13" s="6" t="n"/>
      <c r="M13" s="6" t="n"/>
    </row>
    <row r="14" ht="60" customHeight="1">
      <c r="A14" s="5" t="inlineStr">
        <is>
          <t>TEST_010</t>
        </is>
      </c>
      <c r="B14" s="5" t="n"/>
      <c r="C14" s="6" t="n"/>
      <c r="D14" s="6" t="n"/>
      <c r="E14" s="5" t="inlineStr"/>
      <c r="F14" s="6" t="n"/>
      <c r="G14" s="7" t="n"/>
      <c r="H14" s="7" t="n"/>
      <c r="I14" s="7" t="n"/>
      <c r="J14" s="8">
        <f>SUM(G14:I14)</f>
        <v/>
      </c>
      <c r="K14" s="5">
        <f>IF(J14="","",IF(J14&gt;=6,"✅ Réussi","❌ Échec"))</f>
        <v/>
      </c>
      <c r="L14" s="6" t="n"/>
      <c r="M14" s="6" t="n"/>
    </row>
    <row r="15" ht="60" customHeight="1">
      <c r="A15" s="5" t="inlineStr">
        <is>
          <t>TEST_011</t>
        </is>
      </c>
      <c r="B15" s="5" t="n"/>
      <c r="C15" s="6" t="n"/>
      <c r="D15" s="6" t="n"/>
      <c r="E15" s="5" t="inlineStr"/>
      <c r="F15" s="6" t="n"/>
      <c r="G15" s="7" t="n"/>
      <c r="H15" s="7" t="n"/>
      <c r="I15" s="7" t="n"/>
      <c r="J15" s="8">
        <f>SUM(G15:I15)</f>
        <v/>
      </c>
      <c r="K15" s="5">
        <f>IF(J15="","",IF(J15&gt;=6,"✅ Réussi","❌ Échec"))</f>
        <v/>
      </c>
      <c r="L15" s="6" t="n"/>
      <c r="M15" s="6" t="n"/>
    </row>
    <row r="16" ht="60" customHeight="1">
      <c r="A16" s="5" t="inlineStr">
        <is>
          <t>TEST_012</t>
        </is>
      </c>
      <c r="B16" s="5" t="n"/>
      <c r="C16" s="6" t="n"/>
      <c r="D16" s="6" t="n"/>
      <c r="E16" s="5" t="inlineStr"/>
      <c r="F16" s="6" t="n"/>
      <c r="G16" s="7" t="n"/>
      <c r="H16" s="7" t="n"/>
      <c r="I16" s="7" t="n"/>
      <c r="J16" s="8">
        <f>SUM(G16:I16)</f>
        <v/>
      </c>
      <c r="K16" s="5">
        <f>IF(J16="","",IF(J16&gt;=6,"✅ Réussi","❌ Échec"))</f>
        <v/>
      </c>
      <c r="L16" s="6" t="n"/>
      <c r="M16" s="6" t="n"/>
    </row>
    <row r="17" ht="60" customHeight="1">
      <c r="A17" s="5" t="inlineStr">
        <is>
          <t>TEST_013</t>
        </is>
      </c>
      <c r="B17" s="5" t="n"/>
      <c r="C17" s="6" t="n"/>
      <c r="D17" s="6" t="n"/>
      <c r="E17" s="5" t="inlineStr"/>
      <c r="F17" s="6" t="n"/>
      <c r="G17" s="7" t="n"/>
      <c r="H17" s="7" t="n"/>
      <c r="I17" s="7" t="n"/>
      <c r="J17" s="8">
        <f>SUM(G17:I17)</f>
        <v/>
      </c>
      <c r="K17" s="5">
        <f>IF(J17="","",IF(J17&gt;=6,"✅ Réussi","❌ Échec"))</f>
        <v/>
      </c>
      <c r="L17" s="6" t="n"/>
      <c r="M17" s="6" t="n"/>
    </row>
    <row r="18" ht="60" customHeight="1">
      <c r="A18" s="5" t="inlineStr">
        <is>
          <t>TEST_014</t>
        </is>
      </c>
      <c r="B18" s="5" t="n"/>
      <c r="C18" s="6" t="n"/>
      <c r="D18" s="6" t="n"/>
      <c r="E18" s="5" t="inlineStr"/>
      <c r="F18" s="6" t="n"/>
      <c r="G18" s="7" t="n"/>
      <c r="H18" s="7" t="n"/>
      <c r="I18" s="7" t="n"/>
      <c r="J18" s="8">
        <f>SUM(G18:I18)</f>
        <v/>
      </c>
      <c r="K18" s="5">
        <f>IF(J18="","",IF(J18&gt;=6,"✅ Réussi","❌ Échec"))</f>
        <v/>
      </c>
      <c r="L18" s="6" t="n"/>
      <c r="M18" s="6" t="n"/>
    </row>
    <row r="19" ht="60" customHeight="1">
      <c r="A19" s="5" t="inlineStr">
        <is>
          <t>TEST_015</t>
        </is>
      </c>
      <c r="B19" s="5" t="n"/>
      <c r="C19" s="6" t="n"/>
      <c r="D19" s="6" t="n"/>
      <c r="E19" s="5" t="inlineStr"/>
      <c r="F19" s="6" t="n"/>
      <c r="G19" s="7" t="n"/>
      <c r="H19" s="7" t="n"/>
      <c r="I19" s="7" t="n"/>
      <c r="J19" s="8">
        <f>SUM(G19:I19)</f>
        <v/>
      </c>
      <c r="K19" s="5">
        <f>IF(J19="","",IF(J19&gt;=6,"✅ Réussi","❌ Échec"))</f>
        <v/>
      </c>
      <c r="L19" s="6" t="n"/>
      <c r="M19" s="6" t="n"/>
    </row>
    <row r="20" ht="60" customHeight="1">
      <c r="A20" s="5" t="inlineStr">
        <is>
          <t>TEST_016</t>
        </is>
      </c>
      <c r="B20" s="5" t="n"/>
      <c r="C20" s="6" t="n"/>
      <c r="D20" s="6" t="n"/>
      <c r="E20" s="5" t="inlineStr"/>
      <c r="F20" s="6" t="n"/>
      <c r="G20" s="7" t="n"/>
      <c r="H20" s="7" t="n"/>
      <c r="I20" s="7" t="n"/>
      <c r="J20" s="8">
        <f>SUM(G20:I20)</f>
        <v/>
      </c>
      <c r="K20" s="5">
        <f>IF(J20="","",IF(J20&gt;=6,"✅ Réussi","❌ Échec"))</f>
        <v/>
      </c>
      <c r="L20" s="6" t="n"/>
      <c r="M20" s="6" t="n"/>
    </row>
    <row r="21" ht="60" customHeight="1">
      <c r="A21" s="5" t="inlineStr">
        <is>
          <t>TEST_017</t>
        </is>
      </c>
      <c r="B21" s="5" t="n"/>
      <c r="C21" s="6" t="n"/>
      <c r="D21" s="6" t="n"/>
      <c r="E21" s="5" t="inlineStr"/>
      <c r="F21" s="6" t="n"/>
      <c r="G21" s="7" t="n"/>
      <c r="H21" s="7" t="n"/>
      <c r="I21" s="7" t="n"/>
      <c r="J21" s="8">
        <f>SUM(G21:I21)</f>
        <v/>
      </c>
      <c r="K21" s="5">
        <f>IF(J21="","",IF(J21&gt;=6,"✅ Réussi","❌ Échec"))</f>
        <v/>
      </c>
      <c r="L21" s="6" t="n"/>
      <c r="M21" s="6" t="n"/>
    </row>
    <row r="22" ht="60" customHeight="1">
      <c r="A22" s="5" t="inlineStr">
        <is>
          <t>TEST_018</t>
        </is>
      </c>
      <c r="B22" s="5" t="n"/>
      <c r="C22" s="6" t="n"/>
      <c r="D22" s="6" t="n"/>
      <c r="E22" s="5" t="inlineStr"/>
      <c r="F22" s="6" t="n"/>
      <c r="G22" s="7" t="n"/>
      <c r="H22" s="7" t="n"/>
      <c r="I22" s="7" t="n"/>
      <c r="J22" s="8">
        <f>SUM(G22:I22)</f>
        <v/>
      </c>
      <c r="K22" s="5">
        <f>IF(J22="","",IF(J22&gt;=6,"✅ Réussi","❌ Échec"))</f>
        <v/>
      </c>
      <c r="L22" s="6" t="n"/>
      <c r="M22" s="6" t="n"/>
    </row>
    <row r="23" ht="60" customHeight="1">
      <c r="A23" s="5" t="inlineStr">
        <is>
          <t>TEST_019</t>
        </is>
      </c>
      <c r="B23" s="5" t="n"/>
      <c r="C23" s="6" t="n"/>
      <c r="D23" s="6" t="n"/>
      <c r="E23" s="5" t="inlineStr"/>
      <c r="F23" s="6" t="n"/>
      <c r="G23" s="7" t="n"/>
      <c r="H23" s="7" t="n"/>
      <c r="I23" s="7" t="n"/>
      <c r="J23" s="8">
        <f>SUM(G23:I23)</f>
        <v/>
      </c>
      <c r="K23" s="5">
        <f>IF(J23="","",IF(J23&gt;=6,"✅ Réussi","❌ Échec"))</f>
        <v/>
      </c>
      <c r="L23" s="6" t="n"/>
      <c r="M23" s="6" t="n"/>
    </row>
    <row r="24" ht="60" customHeight="1">
      <c r="A24" s="5" t="inlineStr">
        <is>
          <t>TEST_020</t>
        </is>
      </c>
      <c r="B24" s="5" t="n"/>
      <c r="C24" s="6" t="n"/>
      <c r="D24" s="6" t="n"/>
      <c r="E24" s="5" t="inlineStr"/>
      <c r="F24" s="6" t="n"/>
      <c r="G24" s="7" t="n"/>
      <c r="H24" s="7" t="n"/>
      <c r="I24" s="7" t="n"/>
      <c r="J24" s="8">
        <f>SUM(G24:I24)</f>
        <v/>
      </c>
      <c r="K24" s="5">
        <f>IF(J24="","",IF(J24&gt;=6,"✅ Réussi","❌ Échec"))</f>
        <v/>
      </c>
      <c r="L24" s="6" t="n"/>
      <c r="M24" s="6" t="n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 ht="30" customHeight="1">
      <c r="A1" s="1" t="inlineStr">
        <is>
          <t>📈 SYNTHÈSE DES TESTS</t>
        </is>
      </c>
    </row>
    <row r="3">
      <c r="A3" s="9" t="inlineStr">
        <is>
          <t>Métrique</t>
        </is>
      </c>
      <c r="B3" s="9" t="inlineStr">
        <is>
          <t>Valeur</t>
        </is>
      </c>
      <c r="C3" s="9" t="inlineStr">
        <is>
          <t>Objectif</t>
        </is>
      </c>
    </row>
    <row r="4">
      <c r="A4" s="10" t="inlineStr">
        <is>
          <t>Total Tests</t>
        </is>
      </c>
      <c r="B4" s="11">
        <f>COUNTA(QA_Tests!A5:A24)</f>
        <v/>
      </c>
      <c r="C4" s="11" t="inlineStr">
        <is>
          <t>20</t>
        </is>
      </c>
    </row>
    <row r="5">
      <c r="A5" s="10" t="inlineStr">
        <is>
          <t>Tests Exécutés</t>
        </is>
      </c>
      <c r="B5" s="11">
        <f>COUNTIF(QA_Tests!K5:K24,"✅ Réussi")+COUNTIF(QA_Tests!K5:K24,"❌ Échec")</f>
        <v/>
      </c>
      <c r="C5" s="11" t="inlineStr">
        <is>
          <t>20</t>
        </is>
      </c>
    </row>
    <row r="6">
      <c r="A6" s="10" t="inlineStr">
        <is>
          <t>Réussis (≥6/9)</t>
        </is>
      </c>
      <c r="B6" s="11">
        <f>COUNTIF(QA_Tests!K5:K24,"✅ Réussi")</f>
        <v/>
      </c>
      <c r="C6" s="11" t="inlineStr">
        <is>
          <t>≥16 (80%)</t>
        </is>
      </c>
    </row>
    <row r="7">
      <c r="A7" s="12" t="inlineStr">
        <is>
          <t>Échecs (&lt;6/9)</t>
        </is>
      </c>
      <c r="B7" s="11">
        <f>COUNTIF(QA_Tests!K5:K24,"❌ Échec")</f>
        <v/>
      </c>
      <c r="C7" s="11" t="inlineStr">
        <is>
          <t>≤4 (20%)</t>
        </is>
      </c>
    </row>
    <row r="8">
      <c r="A8" s="12" t="inlineStr">
        <is>
          <t>Score Moyen</t>
        </is>
      </c>
      <c r="B8" s="13">
        <f>AVERAGE(QA_Tests!J5:J24)</f>
        <v/>
      </c>
      <c r="C8" s="11" t="inlineStr">
        <is>
          <t>≥6/9</t>
        </is>
      </c>
    </row>
    <row r="9">
      <c r="A9" s="12" t="inlineStr">
        <is>
          <t>% Réussite</t>
        </is>
      </c>
      <c r="B9" s="14">
        <f>IF(B5=0,0,B6/B5*100)</f>
        <v/>
      </c>
      <c r="C9" s="11" t="inlineStr">
        <is>
          <t>≥80%</t>
        </is>
      </c>
    </row>
    <row r="10">
      <c r="A10" t="inlineStr"/>
      <c r="B10" t="inlineStr"/>
      <c r="C10" t="inlineStr"/>
    </row>
    <row r="11">
      <c r="A11" s="12" t="inlineStr">
        <is>
          <t>Score Moyen Exactitude</t>
        </is>
      </c>
      <c r="B11" s="13">
        <f>AVERAGE(QA_Tests!G5:G24)</f>
        <v/>
      </c>
      <c r="C11" s="11" t="inlineStr">
        <is>
          <t>/3</t>
        </is>
      </c>
    </row>
    <row r="12">
      <c r="A12" s="12" t="inlineStr">
        <is>
          <t>Score Moyen Sources</t>
        </is>
      </c>
      <c r="B12" s="13">
        <f>AVERAGE(QA_Tests!H5:H24)</f>
        <v/>
      </c>
      <c r="C12" s="11" t="inlineStr">
        <is>
          <t>/3</t>
        </is>
      </c>
    </row>
    <row r="13">
      <c r="A13" s="12" t="inlineStr">
        <is>
          <t>Score Moyen Formulation</t>
        </is>
      </c>
      <c r="B13" s="13">
        <f>AVERAGE(QA_Tests!I5:I24)</f>
        <v/>
      </c>
      <c r="C13" s="11" t="inlineStr">
        <is>
          <t>/3</t>
        </is>
      </c>
    </row>
    <row r="16" ht="25" customHeight="1">
      <c r="A16" s="15" t="inlineStr">
        <is>
          <t>DÉCISION FINALE</t>
        </is>
      </c>
    </row>
    <row r="17" ht="40" customHeight="1">
      <c r="A17" s="16">
        <f>IF(B7&gt;=80%,"✅ GO PHASE 2 : Déploiement élargi",IF(B7&gt;=60%,"⚠️ ITÉRATION : Corrections ciblées + re-tests","❌ STOP : Revoir l'architecture"))</f>
        <v/>
      </c>
    </row>
  </sheetData>
  <mergeCells count="3">
    <mergeCell ref="A1:C1"/>
    <mergeCell ref="A16:C16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2025-11-18T22:20:30Z</dcterms:created>
  <dcterms:modified xsi:type="dcterms:W3CDTF">2025-11-18T22:20:30Z</dcterms:modified>
</cp:coreProperties>
</file>