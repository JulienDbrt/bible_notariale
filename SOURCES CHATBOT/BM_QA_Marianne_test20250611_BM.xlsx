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_Master" sheetId="1" r:id="rId4"/>
    <sheet state="visible" name="Synthese_Master" sheetId="2" r:id="rId5"/>
  </sheets>
  <definedNames/>
  <calcPr/>
</workbook>
</file>

<file path=xl/sharedStrings.xml><?xml version="1.0" encoding="utf-8"?>
<sst xmlns="http://schemas.openxmlformats.org/spreadsheetml/2006/main" count="152" uniqueCount="110">
  <si>
    <t>ID Test</t>
  </si>
  <si>
    <t>Catégorie</t>
  </si>
  <si>
    <t>Question</t>
  </si>
  <si>
    <t>Document Source</t>
  </si>
  <si>
    <t>Date Test</t>
  </si>
  <si>
    <t>Réponse Obtenue</t>
  </si>
  <si>
    <t xml:space="preserve">Exactitude /3 </t>
  </si>
  <si>
    <t>Sources /3</t>
  </si>
  <si>
    <t>Formulation /3</t>
  </si>
  <si>
    <t>TOTAL /25</t>
  </si>
  <si>
    <t>Status</t>
  </si>
  <si>
    <t>Notes</t>
  </si>
  <si>
    <t>Réponse NoteKM</t>
  </si>
  <si>
    <t>Pertinence de la réponse + complétude</t>
  </si>
  <si>
    <t>les sources sont pertinentes? sont complètes?</t>
  </si>
  <si>
    <t>clarté de la formulation, adéquation aux formulations notariales, longueur</t>
  </si>
  <si>
    <t>Déontologie</t>
  </si>
  <si>
    <t>Collaboratrice achète bien, vendeurs peuvent passer par ce notaire ?</t>
  </si>
  <si>
    <t>RPN</t>
  </si>
  <si>
    <t xml:space="preserve">-Réponse nuancée mais cohérente :  respect des règles déontologiques et de l’absence de conflit d’intérêts </t>
  </si>
  <si>
    <t>❌ Échec</t>
  </si>
  <si>
    <t xml:space="preserve">Question reformulée de la sorte : Si une collaboratrice d'une étude notariale souhaite acheter un bien immobilier, peut elle faire appel à l'étude qui l'emploie ? </t>
  </si>
  <si>
    <t>En définitive, la situation doit rester exceptionnelle. Bien que l'interdiction légale vise principalement le notaire, les règles déontologiques strictes visant à prévenir tout conflit d'intérêts ou prise illégale d'intérêts, ainsi que la nécessité de l'impartialité, rendent l'intervention de l'étude employant la collaboratrice hautement problématique, voire interdite si l'étude a un lien direct avec l'opération de vente pour le compte du client</t>
  </si>
  <si>
    <t>Notaire peut divulguer infos client à autre client ?</t>
  </si>
  <si>
    <t>la règle générale est l’interdiction absolue de divulguer des informations d’un client à un autre client, sauf exceptions prévues par la loi.</t>
  </si>
  <si>
    <t>✅ Réussi</t>
  </si>
  <si>
    <t>-</t>
  </si>
  <si>
    <t>La question de la divulgation d'informations d'un client à un autre client par un notaire relève directement du secret professionnel, qui est un principe fondamental et absolu de la déontologie notariale.
En vertu des sources fournies, la réponse est clairement Non, sauf dans des circonstances très strictement encadrées, qui nécessiteraient l'autorisation du client concerné ou une obligation légale spécifique.</t>
  </si>
  <si>
    <t>Immobilier</t>
  </si>
  <si>
    <t>Documents obligatoires vente immobilière ?</t>
  </si>
  <si>
    <t>Guide Négo Immo</t>
  </si>
  <si>
    <t>Voici les documents obligatoires lors d'une vente immobilière, selon la répartition des tâches entre notaires, telle que précisée dans les tableaux de référence</t>
  </si>
  <si>
    <t>1 source citée le RPN</t>
  </si>
  <si>
    <t>13 sources citées.Votre requête porte sur la nature des documents indispensables à une vente immobilière. Les sources fournies, bien que se concentrant largement sur les aspects déontologiques, l'organisation notariale et la dématérialisation des actes (Acte Authentique Électronique - AAE), mentionnent explicitement ou implicitement plusieurs types de documents et d'informations nécessaires à la bonne réalisation d'une transaction immobilière.</t>
  </si>
  <si>
    <t>Avantages SCI familiale transmission patrimoine ?</t>
  </si>
  <si>
    <t>Fiches SCI</t>
  </si>
  <si>
    <t>es documents fournis mentionnent la SCI (Société Civile Immobilière) familiale dans le contexte des modes de détention du patrimoine familial, mais ne détaillent pas explicitement les avantages de la SCI familiale pour la transmission de patrimoine. Il est simplement indiqué : « SCI, SARL DE FAMILLE, HOLDING : LES MODES DE DÉTENTION DU PATRIMOINE FAMILIAL ».</t>
  </si>
  <si>
    <t>- question reformulée : quels sont les avantages d'une SCI familiale dans le cadre d'une transmission de patrimoine ?</t>
  </si>
  <si>
    <t>-Après consultation des sources mises à ma disposition, qui traitent principalement de la déontologie et de l'organisation professionnelle des notaires (conflits d'intérêts, inspections, gestion informatique) et des structures d'exercice (SPE, SCP), je dois vous informer que ces documents ne contiennent pas d'informations détaillées sur les avantages patrimoniaux ou successoraux d'une SCI familiale.</t>
  </si>
  <si>
    <t>Conv. Collective</t>
  </si>
  <si>
    <t>Office 15 salariés peut ne pas verser 13ème mois ?</t>
  </si>
  <si>
    <t>Conv. Collective CSN</t>
  </si>
  <si>
    <t>En résumé, un office notarial de 15 salariés ne peut pas décider de ne pas verser le 13ème mois : ce versement est une obligation conventionnelle. Réponse très affirmative.mais elle ne semble pas exacte</t>
  </si>
  <si>
    <t>?</t>
  </si>
  <si>
    <t>- question reformulée : Dans le cadre d'un office notariale de 15 salariés, peut ne pas verser 13ème mois de salaire ?</t>
  </si>
  <si>
    <t>La possibilité pour un office notarial de 15 salariés de ne pas verser de 13ème mois dépend exclusivement des dispositions de la Convention Collective Nationale du Notariat qui s'applique à cet office. Pour obtenir une réponse définitive, il est nécessaire de consulter le texte exact de cette convention, car les sources ici présentes ne le fournissent pas.</t>
  </si>
  <si>
    <t>Assurances</t>
  </si>
  <si>
    <t>Franchise cyber office 8M€ ?</t>
  </si>
  <si>
    <t>Contrat Cyber MMA</t>
  </si>
  <si>
    <t xml:space="preserve">les documents ne précisent pas de franchise spécifique de 8M€ pour un office en matière de cyber, ni n’associent explicitement ce montant à une franchise. Ils détaillent les plafonds de garantie et les franchises générales, mais ne mentionnent pas de franchise de 8M€ pour un événement cyber ou pour un office en particulier. </t>
  </si>
  <si>
    <t>2 passages citées sur 1 source d'info</t>
  </si>
  <si>
    <t>Bien que le montant de 8 M€ ne soit pas identifié, il est clair que les notaires et leurs structures sont soumis à des obligations strictes de sécurité informatique (Cybersécurité) et de rigueur financière, et sont exposés à des pénalités financières pouvant être basées sur leur chiffre d'affaires en cas de faute grave</t>
  </si>
  <si>
    <t>Date échéance contrat cyber ?</t>
  </si>
  <si>
    <t>Les documents fournis mentionnent l’existence d’un contrat « Cyber » dans la liste des contrats collectifs à adhésion obligatoire dont bénéficient toutes les études de l’instance adhérente. Cependant, ils ne précisent pas la date d’échéance du contrat cyber ni les modalités de renouvellement ou de résiliation.</t>
  </si>
  <si>
    <t>Réponse très complète sur 7 sources</t>
  </si>
  <si>
    <t>es sources établissent plusieurs échéances et cycles de renouvellement essentiels touchant directement à la cybersécurité et à la conformité numérique d'un office, qui pourraient être inclus dans un tel "contrat cyber" ou qui dictent la fréquence de l'entretien de la sécurité</t>
  </si>
  <si>
    <t>Hors Périmètre</t>
  </si>
  <si>
    <t>Puis monter SCI avec mes enfants ?</t>
  </si>
  <si>
    <t>N/A</t>
  </si>
  <si>
    <t>Oui, il est possible de monter une Société Civile Immobilière (SCI) avec vos enfants. Les sociétés civiles immobilières (SCI) sont fréquemment utilisées en France, notamment pour transmettre de façon anticipée des biens immobiliers ou de modifier les conséquences d’un régime matrimonial.</t>
  </si>
  <si>
    <t>Reformulation pour éviter l'accronyme SCI : Puis-je  monter une Société Civile immobilière avec mes enfants ?</t>
  </si>
  <si>
    <r>
      <rPr>
        <rFont val="Arial"/>
        <b/>
        <color theme="1"/>
        <sz val="11.0"/>
      </rPr>
      <t>Reponse moins affirmative.</t>
    </r>
    <r>
      <rPr>
        <rFont val="Arial"/>
        <color theme="1"/>
        <sz val="11.0"/>
      </rPr>
      <t xml:space="preserve"> Votre question de savoir si vous pouvez constituer une Société Civile Immobilière (SCI) avec vos enfants relève du droit civil et patrimonial.
Cependant, après examen des documents fournis, qui se concentrent sur la déontologie, l'organisation et la discipline des professions notariales, je ne trouve pas d'informations détaillées ni de conseils juridiques ou fiscaux spécifiques sur la procédure à suivre pour la constitution d'une SCI familiale entre parents et enfants.
Néanmoins, les sources confirment l'existence de cette forme sociale et abordent le sujet principalement sous l'angle des obligations déontologiques et de la prévention des conflits d'intérêts pour les notaires qui pourraient être impliqués dans de telles structures</t>
    </r>
  </si>
  <si>
    <t>Capitale de France ?</t>
  </si>
  <si>
    <t>hors sujet</t>
  </si>
  <si>
    <t>Voies recours litige notaire</t>
  </si>
  <si>
    <t>RPN + Procédures</t>
  </si>
  <si>
    <t>En cas de litige avec un notaire, plusieurs voies de recours sont prévues  !source fil infos 3 fois</t>
  </si>
  <si>
    <t>-Formulation : quelles sont les voies de recours lors d'un litige avec un notaire ?</t>
  </si>
  <si>
    <t>-La résolution d'un litige avec un notaire peut impliquer plusieurs voies de recours, allant de la réclamation auprès des instances professionnelles jusqu'à la saisine des juridictions disciplinaires ou civiles. Ces voies sont structurées par les règles relatives à la déontologie et à la discipline des officiers ministériels.12 sources citées</t>
  </si>
  <si>
    <t>Procédure</t>
  </si>
  <si>
    <t>Chambre interdép s'inviter litige</t>
  </si>
  <si>
    <t>RPN + Règlement</t>
  </si>
  <si>
    <t>Les documents indiquent que la Chambre interdépartementale des notaires peut intervenir dans le cadre de procédures disciplinaires concernant les notaires. Documents cités fil info 249.</t>
  </si>
  <si>
    <t>reformulaition de la question telle que je la comprends : est ce que la Chambre interdépartementale des notaires peut elle s'inviter dans un litige ?</t>
  </si>
  <si>
    <t>La Chambre interdépartementale des notaires (ou le Conseil Régional des notaires, selon l'organisation locale) a non seulement la capacité de s'inviter dans un litige impliquant un notaire de son ressort, mais elle est même l'autorité compétente désignée par la loi pour initier et gérer plusieurs phases de résolution des conflits, qu'ils soient d'ordre professionnel, déontologique ou judiciaire.</t>
  </si>
  <si>
    <t>Notaire peut faire négo immo</t>
  </si>
  <si>
    <t xml:space="preserve">Oui, un notaire peut pratiquer la négociation immobilière. Il s'agit d'une activité traditionnelle du notariat, considérée comme accessoire et exercée en vue de la réalisation d’un contrat. </t>
  </si>
  <si>
    <t>un notaire peut-il faire de la négociation immobilière ?</t>
  </si>
  <si>
    <r>
      <rPr>
        <rFont val="Arial"/>
        <color theme="1"/>
        <sz val="11.0"/>
      </rPr>
      <t xml:space="preserve">Oui, un notaire est autorisé à pratiquer la négociation immobilière, mais cette </t>
    </r>
    <r>
      <rPr>
        <rFont val="Arial"/>
        <b/>
        <color theme="1"/>
        <sz val="11.0"/>
      </rPr>
      <t>activité est strictement encadrée</t>
    </r>
    <r>
      <rPr>
        <rFont val="Arial"/>
        <color theme="1"/>
        <sz val="11.0"/>
      </rPr>
      <t xml:space="preserve"> et doit toujours rester accessoire à sa mission principale d'officier public</t>
    </r>
  </si>
  <si>
    <t>Limites négociation immo</t>
  </si>
  <si>
    <t xml:space="preserve"> la négociation immobilière par un notaire est strictement encadrée : elle doit rester accessoire, se dérouler dans l’office, respecter un mandat écrit, être limitée dans le temps, respecter les principes déontologiques, impliquer la participation à l’acte, et faire l’objet d’une transparence totale sur les honoraires et leur affichage.</t>
  </si>
  <si>
    <t>Pour un notaire, quelles sont les limites de la négociation immobilière ?</t>
  </si>
  <si>
    <t>Pour un notaire, l'activité de négociation immobilière est soumise à des limites strictes, principalement définies par les principes déontologiques d'impartialité, d'indépendance, de probité et par l'interdiction de se livrer à des opérations commerciales ou spéculatives</t>
  </si>
  <si>
    <t>Délai convocation conciliation</t>
  </si>
  <si>
    <t>Bonne réponse avec une possibilité de rebondir vers d'autres types de conciliations</t>
  </si>
  <si>
    <t>Le délai de notification de l'échec ou de l'absence de conciliation est donc mentionné comme étant "sans délai", mais le délai pour la convocation initiale à la conciliation elle-même n'est pas précisé dans les documents.</t>
  </si>
  <si>
    <t>Délai convocation AG compagnie</t>
  </si>
  <si>
    <t>Le délai de convocation pour une assemblée générale ordinaire d’une compagnie départementale ou interdépartementale de notaires est d’au moins quinze jours à l’avance. Ce délai s’applique également aux assemblées extraordinaires, sauf en cas d’urgence. Les convocations sont adressées par lettre individuelle ou par courriel et l’ordre du jour est joint à la convocation. 1 source RPN</t>
  </si>
  <si>
    <t>Votre question concerne le délai de convocation d'une Assemblée Générale (AG) pour une structure professionnelle (potentiellement une "compagnie" au sens de société ou d'instance professionnelle).
En se basant sur les règles procédurales des Sociétés Civiles Professionnelles (SCP) de notaires, les sources prévoient des délais précis, notamment pour l'approbation des comptes annuels.</t>
  </si>
  <si>
    <t>Qui rédige contrat mariage</t>
  </si>
  <si>
    <t>Règlement Cour + RPN</t>
  </si>
  <si>
    <t>La rédaction du contrat de mariage n’est pas directement traitée dans les passages fournis. Toutefois, les tableaux relatifs à la préparation d’un acte de vente immobilière précisent que le « Contrat de mariage / PACS de l’acquéreur » et le « Contrat de mariage / PACS du vendeur » figurent parmi les pièces à fournir ou à requérir par les notaires lors de l’instruction du dossier. Cela montre que le contrat de mariage est un document notarié, puisque seuls les notaires peuvent en exiger la production dans ce contexte.</t>
  </si>
  <si>
    <t>c'est le notaire qui rédige et reçoit l'acte, et plus précisément, le notaire choisi par la future épouse détient la préférence pour la garde de la minute de cet acte</t>
  </si>
  <si>
    <t>Statut</t>
  </si>
  <si>
    <t>Durée mini honorariat</t>
  </si>
  <si>
    <t xml:space="preserve">Les documents précisent que le mandat de négociation immobilière confié au notaire doit obligatoirement être écrit et limité à une durée raisonnable, mais ils ne fixent pas de durée minimale précise. </t>
  </si>
  <si>
    <t>Les sources fournies ne précisent aucune durée minimale spécifique (en années de service) requise pour qu'un notaire obtienne le titre d'honorariat (ou de notaire honoraire).
Toutefois, les documents établissent le cadre dans lequel ce titre existe et les obligations qui y sont liées</t>
  </si>
  <si>
    <t>De manière générale, [...]</t>
  </si>
  <si>
    <t>Score moyen</t>
  </si>
  <si>
    <t>📈 SYNTHÈSE</t>
  </si>
  <si>
    <t>Métrique</t>
  </si>
  <si>
    <t>Valeur</t>
  </si>
  <si>
    <t>Tests Baseline (à faire)</t>
  </si>
  <si>
    <t>Tests Utilisateurs (faits)</t>
  </si>
  <si>
    <t>Total Tests</t>
  </si>
  <si>
    <t>Tests Exécutés</t>
  </si>
  <si>
    <t>Réussis (≥20)</t>
  </si>
  <si>
    <t>Échecs (&lt;15)</t>
  </si>
  <si>
    <t>Score Moyen Global</t>
  </si>
  <si>
    <t>% Réussite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</si>
</sst>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2">
    <font>
      <sz val="10.0"/>
      <color rgb="FF000000"/>
      <name val="Arial"/>
      <scheme val="minor"/>
    </font>
    <font>
      <b/>
      <sz val="10.0"/>
      <color theme="1"/>
      <name val="Arial"/>
      <scheme val="minor"/>
    </font>
    <font>
      <u/>
      <sz val="10.0"/>
      <color rgb="FF1155CC"/>
    </font>
    <font>
      <color theme="1"/>
      <name val="Arial"/>
    </font>
    <font>
      <sz val="11.0"/>
      <color rgb="FF030711"/>
      <name val="Inter"/>
    </font>
    <font>
      <sz val="11.0"/>
      <color theme="1"/>
      <name val="Arial"/>
    </font>
    <font>
      <b/>
      <sz val="11.0"/>
      <color theme="1"/>
      <name val="Arial"/>
    </font>
    <font>
      <i/>
      <sz val="10.0"/>
      <color theme="1"/>
      <name val="Arial"/>
      <scheme val="minor"/>
    </font>
    <font>
      <sz val="10.0"/>
      <color theme="1"/>
      <name val="Arial"/>
      <scheme val="minor"/>
    </font>
    <font>
      <sz val="11.0"/>
      <color theme="1"/>
      <name val="Inter"/>
    </font>
    <font>
      <color theme="1"/>
      <name val="Arial"/>
      <scheme val="minor"/>
    </font>
    <font/>
  </fonts>
  <fills count="4">
    <fill>
      <patternFill patternType="none"/>
    </fill>
    <fill>
      <patternFill patternType="lightGray"/>
    </fill>
    <fill>
      <patternFill patternType="solid">
        <fgColor rgb="FFD9EAD3"/>
        <bgColor rgb="FFD9EAD3"/>
      </patternFill>
    </fill>
    <fill>
      <patternFill patternType="solid">
        <fgColor rgb="FFB6D7A8"/>
        <bgColor rgb="FFB6D7A8"/>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000000"/>
      </right>
      <bottom style="thin">
        <color rgb="FFFFFFFF"/>
      </bottom>
    </border>
    <border>
      <left style="thin">
        <color rgb="FFFFFFFF"/>
      </left>
      <right style="thin">
        <color rgb="FF000000"/>
      </right>
      <top style="thin">
        <color rgb="FFFFFFFF"/>
      </top>
      <bottom style="thin">
        <color rgb="FFFFFFFF"/>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0" fillId="3" fontId="1" numFmtId="0" xfId="0" applyAlignment="1" applyFill="1" applyFont="1">
      <alignment horizontal="center" readingOrder="0" shrinkToFit="0" wrapText="1"/>
    </xf>
    <xf borderId="0" fillId="0" fontId="1" numFmtId="0" xfId="0" applyAlignment="1" applyFont="1">
      <alignment horizontal="center" readingOrder="0" vertical="center"/>
    </xf>
    <xf borderId="0" fillId="2"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1" fillId="0" fontId="2"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0" fontId="3" numFmtId="0" xfId="0" applyAlignment="1" applyBorder="1" applyFont="1">
      <alignment shrinkToFit="0" vertical="top" wrapText="1"/>
    </xf>
    <xf borderId="1" fillId="0" fontId="4" numFmtId="164" xfId="0" applyAlignment="1" applyBorder="1" applyFont="1" applyNumberFormat="1">
      <alignment horizontal="center" readingOrder="0" shrinkToFit="0" vertical="center" wrapText="1"/>
    </xf>
    <xf borderId="1" fillId="0" fontId="4" numFmtId="0" xfId="0" applyAlignment="1" applyBorder="1" applyFont="1">
      <alignment readingOrder="0" shrinkToFit="0" vertical="top"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2" fillId="0" fontId="5"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5" numFmtId="164" xfId="0" applyAlignment="1" applyBorder="1" applyFont="1" applyNumberFormat="1">
      <alignment horizontal="center" readingOrder="0" shrinkToFit="0" vertical="center" wrapText="1"/>
    </xf>
    <xf borderId="2" fillId="0" fontId="5" numFmtId="0" xfId="0" applyAlignment="1" applyBorder="1" applyFont="1">
      <alignment shrinkToFit="0" vertical="top" wrapText="1"/>
    </xf>
    <xf borderId="1" fillId="0" fontId="7" numFmtId="0" xfId="0" applyAlignment="1" applyBorder="1" applyFont="1">
      <alignment readingOrder="0" shrinkToFit="0" vertical="top" wrapText="1"/>
    </xf>
    <xf borderId="2" fillId="0" fontId="3" numFmtId="0" xfId="0" applyAlignment="1" applyBorder="1" applyFont="1">
      <alignment horizontal="center" readingOrder="0" shrinkToFit="0" vertical="center" wrapText="1"/>
    </xf>
    <xf borderId="1" fillId="0" fontId="8" numFmtId="0" xfId="0" applyAlignment="1" applyBorder="1" applyFont="1">
      <alignment readingOrder="0" shrinkToFit="0" vertical="top" wrapText="1"/>
    </xf>
    <xf borderId="1" fillId="0" fontId="9" numFmtId="0" xfId="0" applyAlignment="1" applyBorder="1" applyFont="1">
      <alignment readingOrder="0" shrinkToFit="0" vertical="top" wrapText="1"/>
    </xf>
    <xf borderId="0" fillId="0" fontId="10" numFmtId="0" xfId="0" applyAlignment="1" applyFont="1">
      <alignment readingOrder="0"/>
    </xf>
    <xf borderId="0" fillId="0" fontId="10" numFmtId="0" xfId="0" applyAlignment="1" applyFont="1">
      <alignment shrinkToFit="0" wrapText="1"/>
    </xf>
    <xf borderId="1" fillId="0" fontId="9" numFmtId="0" xfId="0" applyAlignment="1" applyBorder="1" applyFont="1">
      <alignment horizontal="center" shrinkToFit="0" vertical="center" wrapText="1"/>
    </xf>
    <xf borderId="3" fillId="0" fontId="10" numFmtId="0" xfId="0" applyBorder="1" applyFont="1"/>
    <xf borderId="4" fillId="0" fontId="11" numFmtId="0" xfId="0" applyBorder="1" applyFont="1"/>
    <xf borderId="5" fillId="0" fontId="11" numFmtId="0" xfId="0" applyBorder="1" applyFont="1"/>
    <xf borderId="6" fillId="0" fontId="10" numFmtId="0" xfId="0" applyBorder="1" applyFont="1"/>
    <xf borderId="7" fillId="0" fontId="11" numFmtId="0" xfId="0" applyBorder="1" applyFont="1"/>
    <xf borderId="8" fillId="0" fontId="11" numFmtId="0" xfId="0" applyBorder="1" applyFont="1"/>
    <xf borderId="2" fillId="0" fontId="5" numFmtId="0" xfId="0" applyAlignment="1" applyBorder="1" applyFont="1">
      <alignment horizontal="left" shrinkToFit="0" vertical="top" wrapText="1"/>
    </xf>
    <xf borderId="9" fillId="0" fontId="11" numFmtId="0" xfId="0" applyBorder="1" applyFont="1"/>
    <xf borderId="10" fillId="0" fontId="11" numFmtId="0" xfId="0" applyBorder="1" applyFont="1"/>
    <xf borderId="7" fillId="0" fontId="3" numFmtId="0" xfId="0" applyAlignment="1" applyBorder="1" applyFont="1">
      <alignment vertical="bottom"/>
    </xf>
    <xf borderId="2" fillId="0" fontId="6" numFmtId="0" xfId="0" applyAlignment="1" applyBorder="1" applyFont="1">
      <alignment horizontal="center" shrinkToFit="0" vertical="center" wrapText="1"/>
    </xf>
    <xf borderId="11" fillId="0" fontId="3" numFmtId="0" xfId="0" applyAlignment="1" applyBorder="1" applyFont="1">
      <alignment vertical="bottom"/>
    </xf>
    <xf borderId="12" fillId="0" fontId="11" numFmtId="0" xfId="0" applyBorder="1" applyFont="1"/>
    <xf borderId="13" fillId="0" fontId="3" numFmtId="0" xfId="0" applyAlignment="1" applyBorder="1" applyFont="1">
      <alignment horizontal="center" vertical="bottom"/>
    </xf>
    <xf borderId="5" fillId="0" fontId="3" numFmtId="0" xfId="0" applyAlignment="1" applyBorder="1" applyFont="1">
      <alignment horizontal="center" vertical="bottom"/>
    </xf>
    <xf borderId="14" fillId="0" fontId="3" numFmtId="0" xfId="0" applyAlignment="1" applyBorder="1" applyFont="1">
      <alignment vertical="bottom"/>
    </xf>
    <xf borderId="8" fillId="0" fontId="3" numFmtId="0" xfId="0" applyAlignment="1" applyBorder="1" applyFont="1">
      <alignment horizontal="right" vertical="bottom"/>
    </xf>
    <xf borderId="8" fillId="0" fontId="3" numFmtId="0" xfId="0" applyAlignment="1" applyBorder="1" applyFont="1">
      <alignment horizontal="right" readingOrder="0" vertical="bottom"/>
    </xf>
    <xf borderId="8" fillId="0" fontId="3" numFmtId="4"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5.5"/>
    <col customWidth="1" min="3" max="3" width="51.75"/>
    <col customWidth="1" min="4" max="4" width="18.5"/>
    <col customWidth="1" min="5" max="5" width="9.75"/>
    <col customWidth="1" min="6" max="6" width="119.0"/>
    <col customWidth="1" min="7" max="12" width="24.0"/>
    <col customWidth="1" min="14" max="14" width="46.25"/>
    <col customWidth="1" min="15" max="15" width="59.63"/>
  </cols>
  <sheetData>
    <row r="1">
      <c r="A1" s="1" t="s">
        <v>0</v>
      </c>
      <c r="B1" s="1" t="s">
        <v>1</v>
      </c>
      <c r="C1" s="1" t="s">
        <v>2</v>
      </c>
      <c r="D1" s="1" t="s">
        <v>3</v>
      </c>
      <c r="E1" s="1" t="s">
        <v>4</v>
      </c>
      <c r="F1" s="1" t="s">
        <v>5</v>
      </c>
      <c r="G1" s="2" t="s">
        <v>6</v>
      </c>
      <c r="H1" s="2" t="s">
        <v>7</v>
      </c>
      <c r="I1" s="3"/>
      <c r="J1" s="4" t="s">
        <v>8</v>
      </c>
      <c r="K1" s="3"/>
      <c r="L1" s="1" t="s">
        <v>9</v>
      </c>
      <c r="M1" s="1" t="s">
        <v>10</v>
      </c>
      <c r="N1" s="1" t="s">
        <v>11</v>
      </c>
      <c r="O1" s="1" t="s">
        <v>12</v>
      </c>
    </row>
    <row r="2" ht="82.5" customHeight="1">
      <c r="A2" s="5"/>
      <c r="B2" s="5"/>
      <c r="C2" s="5"/>
      <c r="D2" s="5"/>
      <c r="E2" s="5"/>
      <c r="F2" s="5"/>
      <c r="G2" s="6" t="s">
        <v>13</v>
      </c>
      <c r="H2" s="6" t="s">
        <v>14</v>
      </c>
      <c r="I2" s="7"/>
      <c r="J2" s="8" t="s">
        <v>15</v>
      </c>
      <c r="K2" s="7"/>
      <c r="L2" s="5"/>
      <c r="M2" s="5"/>
      <c r="N2" s="5"/>
      <c r="O2" s="5"/>
    </row>
    <row r="3" ht="117.75" customHeight="1">
      <c r="A3" s="9" t="str">
        <f>HYPERLINK("https://docs.google.com/document/d/1VrBWBDosHVZXE5NTIccNGcN020HymEa1arzikLM70W8/edit?tab=t.0#heading=h.e9rx1nrzig85", "TEST_DEON_001")</f>
        <v>TEST_DEON_001</v>
      </c>
      <c r="B3" s="10" t="s">
        <v>16</v>
      </c>
      <c r="C3" s="11" t="s">
        <v>17</v>
      </c>
      <c r="D3" s="11" t="s">
        <v>18</v>
      </c>
      <c r="E3" s="12">
        <v>45819.0</v>
      </c>
      <c r="F3" s="13" t="s">
        <v>19</v>
      </c>
      <c r="G3" s="14">
        <v>4.0</v>
      </c>
      <c r="H3" s="14">
        <v>3.0</v>
      </c>
      <c r="I3" s="14">
        <v>3.0</v>
      </c>
      <c r="J3" s="14">
        <v>5.0</v>
      </c>
      <c r="K3" s="14">
        <v>5.0</v>
      </c>
      <c r="L3" s="15">
        <f t="shared" ref="L3:L10" si="1">SUM(G3:K3)</f>
        <v>20</v>
      </c>
      <c r="M3" s="16" t="s">
        <v>20</v>
      </c>
      <c r="N3" s="17" t="s">
        <v>21</v>
      </c>
      <c r="O3" s="18" t="s">
        <v>22</v>
      </c>
    </row>
    <row r="4" ht="140.25" customHeight="1">
      <c r="A4" s="9" t="str">
        <f>HYPERLINK("https://docs.google.com/document/d/1VrBWBDosHVZXE5NTIccNGcN020HymEa1arzikLM70W8/edit?tab=t.0#heading=h.pgo2ehhhbdme", "TEST_DEON_002")</f>
        <v>TEST_DEON_002</v>
      </c>
      <c r="B4" s="10" t="s">
        <v>16</v>
      </c>
      <c r="C4" s="11" t="s">
        <v>23</v>
      </c>
      <c r="D4" s="11" t="s">
        <v>18</v>
      </c>
      <c r="E4" s="19">
        <v>45819.0</v>
      </c>
      <c r="F4" s="18" t="s">
        <v>24</v>
      </c>
      <c r="G4" s="14">
        <v>5.0</v>
      </c>
      <c r="H4" s="14">
        <v>5.0</v>
      </c>
      <c r="I4" s="14">
        <v>5.0</v>
      </c>
      <c r="J4" s="14">
        <v>5.0</v>
      </c>
      <c r="K4" s="14">
        <v>5.0</v>
      </c>
      <c r="L4" s="15">
        <f t="shared" si="1"/>
        <v>25</v>
      </c>
      <c r="M4" s="16" t="s">
        <v>25</v>
      </c>
      <c r="N4" s="20" t="s">
        <v>26</v>
      </c>
      <c r="O4" s="18" t="s">
        <v>27</v>
      </c>
    </row>
    <row r="5" ht="58.5" customHeight="1">
      <c r="A5" s="9" t="str">
        <f>HYPERLINK("https://docs.google.com/document/d/1VrBWBDosHVZXE5NTIccNGcN020HymEa1arzikLM70W8/edit?tab=t.0#heading=h.hq91coz2k05c", "TEST_IMMO_001")</f>
        <v>TEST_IMMO_001</v>
      </c>
      <c r="B5" s="21" t="s">
        <v>28</v>
      </c>
      <c r="C5" s="11" t="s">
        <v>29</v>
      </c>
      <c r="D5" s="11" t="s">
        <v>30</v>
      </c>
      <c r="E5" s="19">
        <v>45819.0</v>
      </c>
      <c r="F5" s="18" t="s">
        <v>31</v>
      </c>
      <c r="G5" s="14">
        <v>5.0</v>
      </c>
      <c r="H5" s="14">
        <v>5.0</v>
      </c>
      <c r="I5" s="14">
        <v>5.0</v>
      </c>
      <c r="J5" s="14">
        <v>5.0</v>
      </c>
      <c r="K5" s="14">
        <v>5.0</v>
      </c>
      <c r="L5" s="15">
        <f t="shared" si="1"/>
        <v>25</v>
      </c>
      <c r="M5" s="22" t="s">
        <v>25</v>
      </c>
      <c r="N5" s="17" t="s">
        <v>32</v>
      </c>
      <c r="O5" s="18" t="s">
        <v>33</v>
      </c>
    </row>
    <row r="6" ht="58.5" customHeight="1">
      <c r="A6" s="9" t="str">
        <f>HYPERLINK("https://docs.google.com/document/d/1VrBWBDosHVZXE5NTIccNGcN020HymEa1arzikLM70W8/edit?tab=t.0#heading=h.irucl1bol5em", "TEST_IMMO_002")</f>
        <v>TEST_IMMO_002</v>
      </c>
      <c r="B6" s="21" t="s">
        <v>28</v>
      </c>
      <c r="C6" s="11" t="s">
        <v>34</v>
      </c>
      <c r="D6" s="11" t="s">
        <v>35</v>
      </c>
      <c r="E6" s="19">
        <v>45819.0</v>
      </c>
      <c r="F6" s="18" t="s">
        <v>36</v>
      </c>
      <c r="G6" s="14">
        <v>3.0</v>
      </c>
      <c r="H6" s="14">
        <v>1.0</v>
      </c>
      <c r="I6" s="14">
        <v>3.0</v>
      </c>
      <c r="J6" s="14">
        <v>4.0</v>
      </c>
      <c r="K6" s="14">
        <v>5.0</v>
      </c>
      <c r="L6" s="15">
        <f t="shared" si="1"/>
        <v>16</v>
      </c>
      <c r="M6" s="16" t="s">
        <v>20</v>
      </c>
      <c r="N6" s="17" t="s">
        <v>37</v>
      </c>
      <c r="O6" s="18" t="s">
        <v>38</v>
      </c>
    </row>
    <row r="7" ht="58.5" customHeight="1">
      <c r="A7" s="9" t="str">
        <f>HYPERLINK("https://docs.google.com/document/d/1VrBWBDosHVZXE5NTIccNGcN020HymEa1arzikLM70W8/edit?tab=t.0#heading=h.mxmhpxqe937", "TEST_RH_001")</f>
        <v>TEST_RH_001</v>
      </c>
      <c r="B7" s="23" t="s">
        <v>39</v>
      </c>
      <c r="C7" s="11" t="s">
        <v>40</v>
      </c>
      <c r="D7" s="11" t="s">
        <v>41</v>
      </c>
      <c r="E7" s="19">
        <v>45819.0</v>
      </c>
      <c r="F7" s="18" t="s">
        <v>42</v>
      </c>
      <c r="G7" s="14" t="s">
        <v>43</v>
      </c>
      <c r="H7" s="14" t="s">
        <v>43</v>
      </c>
      <c r="I7" s="14" t="s">
        <v>43</v>
      </c>
      <c r="J7" s="14" t="s">
        <v>43</v>
      </c>
      <c r="K7" s="14" t="s">
        <v>43</v>
      </c>
      <c r="L7" s="15">
        <f t="shared" si="1"/>
        <v>0</v>
      </c>
      <c r="M7" s="16" t="s">
        <v>20</v>
      </c>
      <c r="N7" s="17" t="s">
        <v>44</v>
      </c>
      <c r="O7" s="18" t="s">
        <v>45</v>
      </c>
    </row>
    <row r="8" ht="58.5" customHeight="1">
      <c r="A8" s="9" t="str">
        <f>HYPERLINK("https://docs.google.com/document/d/1VrBWBDosHVZXE5NTIccNGcN020HymEa1arzikLM70W8/edit?tab=t.0#heading=h.4ee2nlwmizi6", "TEST_ASSUR_001")</f>
        <v>TEST_ASSUR_001</v>
      </c>
      <c r="B8" s="23" t="s">
        <v>46</v>
      </c>
      <c r="C8" s="11" t="s">
        <v>47</v>
      </c>
      <c r="D8" s="11" t="s">
        <v>48</v>
      </c>
      <c r="E8" s="19">
        <v>45819.0</v>
      </c>
      <c r="F8" s="13" t="s">
        <v>49</v>
      </c>
      <c r="G8" s="14">
        <v>5.0</v>
      </c>
      <c r="H8" s="14">
        <v>5.0</v>
      </c>
      <c r="I8" s="14">
        <v>5.0</v>
      </c>
      <c r="J8" s="14">
        <v>5.0</v>
      </c>
      <c r="K8" s="14">
        <v>5.0</v>
      </c>
      <c r="L8" s="15">
        <f t="shared" si="1"/>
        <v>25</v>
      </c>
      <c r="M8" s="22" t="s">
        <v>25</v>
      </c>
      <c r="N8" s="17" t="s">
        <v>50</v>
      </c>
      <c r="O8" s="18" t="s">
        <v>51</v>
      </c>
    </row>
    <row r="9" ht="58.5" customHeight="1">
      <c r="A9" s="9" t="str">
        <f>HYPERLINK("https://docs.google.com/document/d/1VrBWBDosHVZXE5NTIccNGcN020HymEa1arzikLM70W8/edit?tab=t.0#heading=h.3xo0rdh2szl0", "TEST_ASSUR_002")</f>
        <v>TEST_ASSUR_002</v>
      </c>
      <c r="B9" s="23" t="s">
        <v>46</v>
      </c>
      <c r="C9" s="11" t="s">
        <v>52</v>
      </c>
      <c r="D9" s="11" t="s">
        <v>48</v>
      </c>
      <c r="E9" s="19">
        <v>45819.0</v>
      </c>
      <c r="F9" s="18" t="s">
        <v>53</v>
      </c>
      <c r="G9" s="14">
        <v>3.0</v>
      </c>
      <c r="H9" s="14">
        <v>3.0</v>
      </c>
      <c r="I9" s="14">
        <v>2.0</v>
      </c>
      <c r="J9" s="14">
        <v>5.0</v>
      </c>
      <c r="K9" s="14">
        <v>5.0</v>
      </c>
      <c r="L9" s="15">
        <f t="shared" si="1"/>
        <v>18</v>
      </c>
      <c r="M9" s="22" t="s">
        <v>20</v>
      </c>
      <c r="N9" s="17" t="s">
        <v>54</v>
      </c>
      <c r="O9" s="18" t="s">
        <v>55</v>
      </c>
    </row>
    <row r="10" ht="58.5" customHeight="1">
      <c r="A10" s="9" t="str">
        <f>HYPERLINK("https://docs.google.com/document/d/1VrBWBDosHVZXE5NTIccNGcN020HymEa1arzikLM70W8/edit?tab=t.0#heading=h.l4580147qcjq", "TEST_HORSPER_001")</f>
        <v>TEST_HORSPER_001</v>
      </c>
      <c r="B10" s="23" t="s">
        <v>56</v>
      </c>
      <c r="C10" s="11" t="s">
        <v>57</v>
      </c>
      <c r="D10" s="11" t="s">
        <v>58</v>
      </c>
      <c r="E10" s="19">
        <v>45819.0</v>
      </c>
      <c r="F10" s="24" t="s">
        <v>59</v>
      </c>
      <c r="G10" s="14">
        <v>5.0</v>
      </c>
      <c r="H10" s="14">
        <v>5.0</v>
      </c>
      <c r="I10" s="14">
        <v>5.0</v>
      </c>
      <c r="J10" s="14">
        <v>5.0</v>
      </c>
      <c r="K10" s="14">
        <v>5.0</v>
      </c>
      <c r="L10" s="15">
        <f t="shared" si="1"/>
        <v>25</v>
      </c>
      <c r="M10" s="22" t="s">
        <v>25</v>
      </c>
      <c r="N10" s="17" t="s">
        <v>60</v>
      </c>
      <c r="O10" s="18" t="s">
        <v>61</v>
      </c>
    </row>
    <row r="11" ht="58.5" customHeight="1">
      <c r="A11" s="9" t="str">
        <f>HYPERLINK("https://docs.google.com/document/d/1VrBWBDosHVZXE5NTIccNGcN020HymEa1arzikLM70W8/edit?tab=t.0#heading=h.2hssdi1h4z3e", "TEST_HORSPER_002")</f>
        <v>TEST_HORSPER_002</v>
      </c>
      <c r="B11" s="23" t="s">
        <v>56</v>
      </c>
      <c r="C11" s="11" t="s">
        <v>62</v>
      </c>
      <c r="D11" s="11" t="s">
        <v>58</v>
      </c>
      <c r="E11" s="19">
        <v>45819.0</v>
      </c>
      <c r="F11" s="25" t="s">
        <v>63</v>
      </c>
      <c r="G11" s="26"/>
      <c r="H11" s="26"/>
      <c r="I11" s="26"/>
      <c r="J11" s="26"/>
      <c r="K11" s="26"/>
      <c r="M11" s="22" t="s">
        <v>20</v>
      </c>
      <c r="N11" s="17"/>
      <c r="O11" s="18"/>
    </row>
    <row r="12" ht="58.5" customHeight="1">
      <c r="A12" s="9" t="str">
        <f>HYPERLINK("https://docs.google.com/document/d/1VrBWBDosHVZXE5NTIccNGcN020HymEa1arzikLM70W8/edit?tab=t.0#heading=h.mh7k1sycuv54", "TEST_USER_001")</f>
        <v>TEST_USER_001</v>
      </c>
      <c r="B12" s="23" t="s">
        <v>16</v>
      </c>
      <c r="C12" s="11" t="s">
        <v>64</v>
      </c>
      <c r="D12" s="11" t="s">
        <v>65</v>
      </c>
      <c r="E12" s="19">
        <v>45819.0</v>
      </c>
      <c r="F12" s="13" t="s">
        <v>66</v>
      </c>
      <c r="G12" s="14">
        <v>5.0</v>
      </c>
      <c r="H12" s="14">
        <v>3.0</v>
      </c>
      <c r="I12" s="14">
        <v>5.0</v>
      </c>
      <c r="J12" s="14">
        <v>5.0</v>
      </c>
      <c r="K12" s="14">
        <v>5.0</v>
      </c>
      <c r="L12" s="15">
        <f t="shared" ref="L12:L19" si="2">SUM(G12:K12)</f>
        <v>23</v>
      </c>
      <c r="M12" s="22" t="s">
        <v>25</v>
      </c>
      <c r="N12" s="17" t="s">
        <v>67</v>
      </c>
      <c r="O12" s="18" t="s">
        <v>68</v>
      </c>
    </row>
    <row r="13" ht="58.5" customHeight="1">
      <c r="A13" s="9" t="str">
        <f>HYPERLINK("https://docs.google.com/document/d/1VrBWBDosHVZXE5NTIccNGcN020HymEa1arzikLM70W8/edit?tab=t.0#heading=h.nvixu0zd140z", "TEST_USER_002")</f>
        <v>TEST_USER_002</v>
      </c>
      <c r="B13" s="23" t="s">
        <v>69</v>
      </c>
      <c r="C13" s="11" t="s">
        <v>70</v>
      </c>
      <c r="D13" s="11" t="s">
        <v>71</v>
      </c>
      <c r="E13" s="19">
        <v>45819.0</v>
      </c>
      <c r="F13" s="24" t="s">
        <v>72</v>
      </c>
      <c r="G13" s="14">
        <v>2.0</v>
      </c>
      <c r="H13" s="14">
        <v>1.0</v>
      </c>
      <c r="I13" s="14">
        <v>2.0</v>
      </c>
      <c r="J13" s="14">
        <v>4.0</v>
      </c>
      <c r="K13" s="14">
        <v>4.0</v>
      </c>
      <c r="L13" s="15">
        <f t="shared" si="2"/>
        <v>13</v>
      </c>
      <c r="M13" s="16" t="s">
        <v>20</v>
      </c>
      <c r="N13" s="17" t="s">
        <v>73</v>
      </c>
      <c r="O13" s="18" t="s">
        <v>74</v>
      </c>
    </row>
    <row r="14" ht="58.5" customHeight="1">
      <c r="A14" s="9" t="str">
        <f>HYPERLINK("https://docs.google.com/document/d/1VrBWBDosHVZXE5NTIccNGcN020HymEa1arzikLM70W8/edit?tab=t.0#heading=h.6vz9lexpnak9", "TEST_USER_003")</f>
        <v>TEST_USER_003</v>
      </c>
      <c r="B14" s="23" t="s">
        <v>16</v>
      </c>
      <c r="C14" s="11" t="s">
        <v>75</v>
      </c>
      <c r="D14" s="11" t="s">
        <v>30</v>
      </c>
      <c r="E14" s="19">
        <v>45819.0</v>
      </c>
      <c r="F14" s="13" t="s">
        <v>76</v>
      </c>
      <c r="G14" s="14">
        <v>5.0</v>
      </c>
      <c r="H14" s="14">
        <v>5.0</v>
      </c>
      <c r="I14" s="14">
        <v>5.0</v>
      </c>
      <c r="J14" s="14">
        <v>5.0</v>
      </c>
      <c r="K14" s="14">
        <v>5.0</v>
      </c>
      <c r="L14" s="15">
        <f t="shared" si="2"/>
        <v>25</v>
      </c>
      <c r="M14" s="16" t="s">
        <v>25</v>
      </c>
      <c r="N14" s="17" t="s">
        <v>77</v>
      </c>
      <c r="O14" s="18" t="s">
        <v>78</v>
      </c>
    </row>
    <row r="15" ht="58.5" customHeight="1">
      <c r="A15" s="9" t="str">
        <f>HYPERLINK("https://docs.google.com/document/d/1VrBWBDosHVZXE5NTIccNGcN020HymEa1arzikLM70W8/edit?tab=t.0#heading=h.97xq5tnngly8", "TEST_USER_004")</f>
        <v>TEST_USER_004</v>
      </c>
      <c r="B15" s="23" t="s">
        <v>16</v>
      </c>
      <c r="C15" s="11" t="s">
        <v>79</v>
      </c>
      <c r="D15" s="11" t="s">
        <v>30</v>
      </c>
      <c r="E15" s="19">
        <v>45819.0</v>
      </c>
      <c r="F15" s="13" t="s">
        <v>80</v>
      </c>
      <c r="G15" s="14">
        <v>5.0</v>
      </c>
      <c r="H15" s="14">
        <v>5.0</v>
      </c>
      <c r="I15" s="14">
        <v>5.0</v>
      </c>
      <c r="J15" s="14">
        <v>5.0</v>
      </c>
      <c r="K15" s="14">
        <v>5.0</v>
      </c>
      <c r="L15" s="15">
        <f t="shared" si="2"/>
        <v>25</v>
      </c>
      <c r="M15" s="16" t="s">
        <v>25</v>
      </c>
      <c r="N15" s="17" t="s">
        <v>81</v>
      </c>
      <c r="O15" s="18" t="s">
        <v>82</v>
      </c>
    </row>
    <row r="16" ht="58.5" customHeight="1">
      <c r="A16" s="9" t="str">
        <f>HYPERLINK("https://docs.google.com/document/d/1VrBWBDosHVZXE5NTIccNGcN020HymEa1arzikLM70W8/edit?tab=t.0#heading=h.lzjsxznv3kij", "TEST_USER_005")</f>
        <v>TEST_USER_005</v>
      </c>
      <c r="B16" s="23" t="s">
        <v>69</v>
      </c>
      <c r="C16" s="11" t="s">
        <v>83</v>
      </c>
      <c r="D16" s="11" t="s">
        <v>39</v>
      </c>
      <c r="E16" s="19">
        <v>45819.0</v>
      </c>
      <c r="F16" s="13" t="s">
        <v>84</v>
      </c>
      <c r="G16" s="14">
        <v>5.0</v>
      </c>
      <c r="H16" s="14">
        <v>5.0</v>
      </c>
      <c r="I16" s="14">
        <v>5.0</v>
      </c>
      <c r="J16" s="14">
        <v>5.0</v>
      </c>
      <c r="K16" s="14">
        <v>5.0</v>
      </c>
      <c r="L16" s="15">
        <f t="shared" si="2"/>
        <v>25</v>
      </c>
      <c r="M16" s="16" t="s">
        <v>25</v>
      </c>
      <c r="N16" s="20" t="s">
        <v>26</v>
      </c>
      <c r="O16" s="18" t="s">
        <v>85</v>
      </c>
    </row>
    <row r="17" ht="58.5" customHeight="1">
      <c r="A17" s="9" t="str">
        <f>HYPERLINK("https://docs.google.com/document/d/1VrBWBDosHVZXE5NTIccNGcN020HymEa1arzikLM70W8/edit?tab=t.0#heading=h.aixtfsjaspz", "TEST_USER_006")</f>
        <v>TEST_USER_006</v>
      </c>
      <c r="B17" s="23" t="s">
        <v>69</v>
      </c>
      <c r="C17" s="11" t="s">
        <v>86</v>
      </c>
      <c r="D17" s="11" t="s">
        <v>18</v>
      </c>
      <c r="E17" s="19">
        <v>45819.0</v>
      </c>
      <c r="F17" s="18" t="s">
        <v>87</v>
      </c>
      <c r="G17" s="14">
        <v>5.0</v>
      </c>
      <c r="H17" s="14">
        <v>5.0</v>
      </c>
      <c r="I17" s="14">
        <v>5.0</v>
      </c>
      <c r="J17" s="14">
        <v>5.0</v>
      </c>
      <c r="K17" s="14">
        <v>5.0</v>
      </c>
      <c r="L17" s="15">
        <f t="shared" si="2"/>
        <v>25</v>
      </c>
      <c r="M17" s="16" t="s">
        <v>25</v>
      </c>
      <c r="N17" s="20" t="s">
        <v>26</v>
      </c>
      <c r="O17" s="18" t="s">
        <v>88</v>
      </c>
    </row>
    <row r="18" ht="58.5" customHeight="1">
      <c r="A18" s="9" t="str">
        <f>HYPERLINK("https://docs.google.com/document/d/1VrBWBDosHVZXE5NTIccNGcN020HymEa1arzikLM70W8/edit?tab=t.0#heading=h.kcpbsbuhec7g", "TEST_USER_007")</f>
        <v>TEST_USER_007</v>
      </c>
      <c r="B18" s="23" t="s">
        <v>69</v>
      </c>
      <c r="C18" s="11" t="s">
        <v>89</v>
      </c>
      <c r="D18" s="11" t="s">
        <v>90</v>
      </c>
      <c r="E18" s="19">
        <v>45819.0</v>
      </c>
      <c r="F18" s="24" t="s">
        <v>91</v>
      </c>
      <c r="G18" s="14">
        <v>3.0</v>
      </c>
      <c r="H18" s="14">
        <v>4.0</v>
      </c>
      <c r="I18" s="14">
        <v>5.0</v>
      </c>
      <c r="J18" s="14">
        <v>3.0</v>
      </c>
      <c r="K18" s="14">
        <v>5.0</v>
      </c>
      <c r="L18" s="15">
        <f t="shared" si="2"/>
        <v>20</v>
      </c>
      <c r="M18" s="16" t="s">
        <v>20</v>
      </c>
      <c r="N18" s="20" t="s">
        <v>26</v>
      </c>
      <c r="O18" s="18" t="s">
        <v>92</v>
      </c>
    </row>
    <row r="19" ht="58.5" customHeight="1">
      <c r="A19" s="9" t="str">
        <f>HYPERLINK("https://docs.google.com/document/d/1VrBWBDosHVZXE5NTIccNGcN020HymEa1arzikLM70W8/edit?tab=t.0#heading=h.qd3hs6fajjf0", "TEST_USER_008")</f>
        <v>TEST_USER_008</v>
      </c>
      <c r="B19" s="23" t="s">
        <v>93</v>
      </c>
      <c r="C19" s="11" t="s">
        <v>94</v>
      </c>
      <c r="D19" s="11" t="s">
        <v>18</v>
      </c>
      <c r="E19" s="27" t="s">
        <v>26</v>
      </c>
      <c r="F19" s="24" t="s">
        <v>95</v>
      </c>
      <c r="G19" s="14">
        <v>5.0</v>
      </c>
      <c r="H19" s="14">
        <v>5.0</v>
      </c>
      <c r="I19" s="14">
        <v>5.0</v>
      </c>
      <c r="J19" s="14">
        <v>5.0</v>
      </c>
      <c r="K19" s="14">
        <v>5.0</v>
      </c>
      <c r="L19" s="15">
        <f t="shared" si="2"/>
        <v>25</v>
      </c>
      <c r="M19" s="22" t="s">
        <v>25</v>
      </c>
      <c r="N19" s="20" t="s">
        <v>26</v>
      </c>
      <c r="O19" s="18" t="s">
        <v>96</v>
      </c>
    </row>
    <row r="20" ht="58.5" customHeight="1">
      <c r="A20" s="28"/>
      <c r="B20" s="29"/>
      <c r="C20" s="29"/>
      <c r="D20" s="29"/>
      <c r="E20" s="29"/>
      <c r="F20" s="29"/>
      <c r="G20" s="29"/>
      <c r="H20" s="29"/>
      <c r="I20" s="29"/>
      <c r="J20" s="29"/>
      <c r="K20" s="29"/>
      <c r="L20" s="29"/>
      <c r="M20" s="29"/>
      <c r="N20" s="29"/>
      <c r="O20" s="30"/>
    </row>
    <row r="21" ht="58.5" customHeight="1">
      <c r="A21" s="31"/>
      <c r="B21" s="32"/>
      <c r="C21" s="32"/>
      <c r="D21" s="32"/>
      <c r="E21" s="32"/>
      <c r="F21" s="33"/>
      <c r="G21" s="34" t="s">
        <v>97</v>
      </c>
      <c r="H21" s="35"/>
      <c r="I21" s="35"/>
      <c r="J21" s="35"/>
      <c r="K21" s="35"/>
      <c r="L21" s="35"/>
      <c r="M21" s="36"/>
      <c r="N21" s="37"/>
      <c r="O21" s="33"/>
    </row>
    <row r="22">
      <c r="A22" s="31"/>
      <c r="B22" s="32"/>
      <c r="C22" s="32"/>
      <c r="D22" s="32"/>
      <c r="E22" s="32"/>
      <c r="F22" s="33"/>
      <c r="G22" s="38" t="s">
        <v>98</v>
      </c>
      <c r="H22" s="35"/>
      <c r="I22" s="35"/>
      <c r="J22" s="36"/>
      <c r="K22" s="38">
        <f>AVERAGE(G3:G19)</f>
        <v>4.333333333</v>
      </c>
      <c r="L22" s="35"/>
      <c r="M22" s="36"/>
      <c r="N22" s="37"/>
      <c r="O22" s="33"/>
    </row>
  </sheetData>
  <mergeCells count="8">
    <mergeCell ref="A20:O20"/>
    <mergeCell ref="A21:F21"/>
    <mergeCell ref="G21:M21"/>
    <mergeCell ref="N21:O21"/>
    <mergeCell ref="A22:F22"/>
    <mergeCell ref="G22:J22"/>
    <mergeCell ref="K22:M22"/>
    <mergeCell ref="N22:O22"/>
  </mergeCells>
  <conditionalFormatting sqref="M3:M19">
    <cfRule type="colorScale" priority="1">
      <colorScale>
        <cfvo type="min"/>
        <cfvo type="max"/>
        <color rgb="FFFFFFFF"/>
        <color rgb="FF57BB8A"/>
      </colorScale>
    </cfRule>
  </conditionalFormatting>
  <dataValidations>
    <dataValidation type="list" allowBlank="1" showErrorMessage="1" sqref="M3:M18">
      <formula1>"✅ Réussi,❌ Échec,➖Mitigé"</formula1>
    </dataValidation>
    <dataValidation type="list" allowBlank="1" showErrorMessage="1" sqref="M19">
      <formula1>"✅ Réussi,❌ Échec"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s>
  <sheetData>
    <row r="1">
      <c r="A1" s="39" t="s">
        <v>99</v>
      </c>
      <c r="B1" s="40"/>
    </row>
    <row r="2">
      <c r="A2" s="41" t="s">
        <v>100</v>
      </c>
      <c r="B2" s="42" t="s">
        <v>101</v>
      </c>
    </row>
    <row r="3">
      <c r="A3" s="43" t="s">
        <v>102</v>
      </c>
      <c r="B3" s="44">
        <v>0.0</v>
      </c>
    </row>
    <row r="4">
      <c r="A4" s="43" t="s">
        <v>103</v>
      </c>
      <c r="B4" s="44">
        <v>17.0</v>
      </c>
    </row>
    <row r="5">
      <c r="A5" s="43" t="s">
        <v>104</v>
      </c>
      <c r="B5" s="44">
        <v>17.0</v>
      </c>
    </row>
    <row r="6">
      <c r="A6" s="43" t="s">
        <v>105</v>
      </c>
      <c r="B6" s="44">
        <v>17.0</v>
      </c>
    </row>
    <row r="7">
      <c r="A7" s="43" t="s">
        <v>106</v>
      </c>
      <c r="B7" s="45">
        <v>6.0</v>
      </c>
    </row>
    <row r="8">
      <c r="A8" s="43" t="s">
        <v>107</v>
      </c>
      <c r="B8" s="45">
        <v>9.0</v>
      </c>
    </row>
    <row r="9">
      <c r="A9" s="43" t="s">
        <v>108</v>
      </c>
      <c r="B9" s="44" t="str">
        <f>#REF!</f>
        <v>#REF!</v>
      </c>
    </row>
    <row r="10">
      <c r="A10" s="43" t="s">
        <v>109</v>
      </c>
      <c r="B10" s="46">
        <f>(B7/B5)*100</f>
        <v>35.29411765</v>
      </c>
    </row>
  </sheetData>
  <mergeCells count="1">
    <mergeCell ref="A1:B1"/>
  </mergeCells>
  <drawing r:id="rId1"/>
</worksheet>
</file>